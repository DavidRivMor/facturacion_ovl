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f1d6c01a9c6a93d/Documentos/Orvis/"/>
    </mc:Choice>
  </mc:AlternateContent>
  <xr:revisionPtr revIDLastSave="1276" documentId="13_ncr:1_{2745597C-7FD2-4093-983C-E7128F7504DF}" xr6:coauthVersionLast="47" xr6:coauthVersionMax="47" xr10:uidLastSave="{CFAE67F9-C7CB-4B6E-9414-8F179A93DE1A}"/>
  <bookViews>
    <workbookView xWindow="-120" yWindow="-120" windowWidth="29040" windowHeight="15990" xr2:uid="{94CEB4C9-A7A5-4D23-A3C1-01BCF9F185FB}"/>
  </bookViews>
  <sheets>
    <sheet name="FACTURACION OVL" sheetId="1" r:id="rId1"/>
    <sheet name="FACTURACION LFOV" sheetId="2" r:id="rId2"/>
  </sheets>
  <definedNames>
    <definedName name="_xlnm._FilterDatabase" localSheetId="1" hidden="1">'FACTURACION LFOV'!$A$1:$M$1</definedName>
    <definedName name="_xlnm._FilterDatabase" localSheetId="0" hidden="1">'FACTURACION OVL'!$A$1:$M$1</definedName>
    <definedName name="GRANTOTALLFOV">'FACTURACION LFOV'!$P$19</definedName>
    <definedName name="GRANTOTALOVL">'FACTURACION OVL'!$P$20</definedName>
    <definedName name="TOTALCONFIRMADOCARLOSLFOV">'FACTURACION LFOV'!$P$7</definedName>
    <definedName name="TOTALCONFIRMADOCARLOSOVL">'FACTURACION OVL'!$P$7</definedName>
    <definedName name="TOTALCONFIRMADOELVIRALFOV">'FACTURACION LFOV'!$P$12</definedName>
    <definedName name="TOTALCONFIRMADOELVIRAOVL">'FACTURACION OVL'!$P$12</definedName>
    <definedName name="TOTALCONFIRMADOLFOV">'FACTURACION LFOV'!$P$17</definedName>
    <definedName name="TOTALCONFIRMADOOVL">'FACTURACION OVL'!$P$18</definedName>
    <definedName name="TOTALPORCONFIRMARCARLOSLFOV">'FACTURACION LFOV'!$P$8</definedName>
    <definedName name="TOTALPORCONFIRMARCARLOSOVL">'FACTURACION OVL'!$P$8</definedName>
    <definedName name="TOTALPORCONFIRMARELVIRALFOV">'FACTURACION LFOV'!$P$13</definedName>
    <definedName name="TOTALPORCONFIRMARELVIRAOVL">'FACTURACION OVL'!$P$13</definedName>
    <definedName name="TOTALPORCONFIRMARLFOV">'FACTURACION LFOV'!$P$18</definedName>
    <definedName name="TOTALPORCONFIRMAROVL">'FACTURACION OVL'!$P$19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8" i="2" l="1"/>
  <c r="P17" i="2"/>
  <c r="P19" i="1"/>
  <c r="P18" i="1"/>
  <c r="P19" i="2" l="1"/>
  <c r="P20" i="1"/>
</calcChain>
</file>

<file path=xl/sharedStrings.xml><?xml version="1.0" encoding="utf-8"?>
<sst xmlns="http://schemas.openxmlformats.org/spreadsheetml/2006/main" count="48" uniqueCount="25">
  <si>
    <t>EMISOR</t>
  </si>
  <si>
    <t>TIPO DE DOCUMENTO</t>
  </si>
  <si>
    <t>CONCEPTO</t>
  </si>
  <si>
    <t>FOLIO</t>
  </si>
  <si>
    <t>CONTRATO</t>
  </si>
  <si>
    <t>PERIODO DE RENTA</t>
  </si>
  <si>
    <t>FECHA DE PAGO</t>
  </si>
  <si>
    <t>AGENTE</t>
  </si>
  <si>
    <t>PRONOSTICO DE COBRANZA</t>
  </si>
  <si>
    <t>CARLOS</t>
  </si>
  <si>
    <t>ELVIRA</t>
  </si>
  <si>
    <t>Confirmado Carlos</t>
  </si>
  <si>
    <t>Por confirmar Carlos</t>
  </si>
  <si>
    <t>Confirmado Elvira</t>
  </si>
  <si>
    <t>Por confirmar Elvira</t>
  </si>
  <si>
    <t>TOTAL COBRANZA</t>
  </si>
  <si>
    <t>Confirmados</t>
  </si>
  <si>
    <t>Por confirmar</t>
  </si>
  <si>
    <t>Gran Total</t>
  </si>
  <si>
    <t>SALDO PENDIENTE</t>
  </si>
  <si>
    <t>SALDO TOTAL</t>
  </si>
  <si>
    <t>NOMBRE O RAZON SOCIAL</t>
  </si>
  <si>
    <t>ESTADO DE PRONOSTICO</t>
  </si>
  <si>
    <t>NOMBREO RAZON SOCIAL</t>
  </si>
  <si>
    <t>X - CONFIRMADO                     O- POR CONFIRMAR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</si>
</sst>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;\-&quot;$&quot;#,##0.0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rgb="FF000000"/>
      <name val="Aptos Mono"/>
      <family val="3"/>
    </font>
    <font>
      <b/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3" tint="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Protection="1">
      <protection locked="0"/>
    </xf>
    <xf numFmtId="44" fontId="4" fillId="2" borderId="3" xfId="1" applyFont="1" applyFill="1" applyBorder="1" applyAlignment="1">
      <alignment horizontal="center" vertical="center" wrapText="1"/>
    </xf>
    <xf numFmtId="44" fontId="0" fillId="0" borderId="0" xfId="1" applyFont="1"/>
    <xf numFmtId="44" fontId="3" fillId="0" borderId="0" xfId="1" applyFont="1" applyAlignment="1">
      <alignment horizontal="center" vertical="center" wrapText="1"/>
    </xf>
    <xf numFmtId="44" fontId="0" fillId="0" borderId="1" xfId="1" applyFont="1" applyBorder="1"/>
    <xf numFmtId="0" fontId="5" fillId="0" borderId="0" xfId="0" applyFont="1"/>
    <xf numFmtId="0" fontId="2" fillId="4" borderId="1" xfId="0" applyFont="1" applyFill="1" applyBorder="1"/>
    <xf numFmtId="0" fontId="2" fillId="3" borderId="1" xfId="0" applyFont="1" applyFill="1" applyBorder="1"/>
    <xf numFmtId="0" fontId="2" fillId="5" borderId="1" xfId="0" applyFont="1" applyFill="1" applyBorder="1"/>
    <xf numFmtId="164" fontId="0" fillId="0" borderId="1" xfId="1" applyNumberFormat="1" applyFont="1" applyBorder="1"/>
    <xf numFmtId="0" fontId="6" fillId="0" borderId="0" xfId="0" applyFont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2" fillId="0" borderId="0" xfId="0" applyFont="1" applyFill="1"/>
    <xf numFmtId="0" fontId="0" fillId="0" borderId="0" xfId="0" applyFill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57150</xdr:rowOff>
        </xdr:from>
        <xdr:to>
          <xdr:col>14</xdr:col>
          <xdr:colOff>1371600</xdr:colOff>
          <xdr:row>0</xdr:row>
          <xdr:rowOff>381000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Mono"/>
                </a:rPr>
                <a:t>APLICAR BORDES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161925</xdr:colOff>
          <xdr:row>0</xdr:row>
          <xdr:rowOff>57150</xdr:rowOff>
        </xdr:from>
        <xdr:to>
          <xdr:col>15</xdr:col>
          <xdr:colOff>1485900</xdr:colOff>
          <xdr:row>0</xdr:row>
          <xdr:rowOff>381000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Mono"/>
                </a:rPr>
                <a:t>CALCULAR SALDO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76200</xdr:rowOff>
        </xdr:from>
        <xdr:to>
          <xdr:col>14</xdr:col>
          <xdr:colOff>1323975</xdr:colOff>
          <xdr:row>0</xdr:row>
          <xdr:rowOff>381000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APLICAR BORDES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0</xdr:row>
          <xdr:rowOff>66675</xdr:rowOff>
        </xdr:from>
        <xdr:to>
          <xdr:col>15</xdr:col>
          <xdr:colOff>1390650</xdr:colOff>
          <xdr:row>0</xdr:row>
          <xdr:rowOff>371475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CALCULAR SALDO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40E79-6848-4BC7-939A-D5A9D4C9B58D}">
  <sheetPr codeName="Hoja1"/>
  <dimension ref="A1:P20"/>
  <sheetViews>
    <sheetView tabSelected="1" topLeftCell="C1" workbookViewId="0">
      <pane ySplit="1" topLeftCell="A2" activePane="bottomLeft" state="frozen"/>
      <selection activeCell="B1" sqref="B1"/>
      <selection pane="bottomLeft" activeCell="M12" sqref="M12"/>
    </sheetView>
  </sheetViews>
  <sheetFormatPr baseColWidth="10" defaultRowHeight="15" x14ac:dyDescent="0.25"/>
  <cols>
    <col min="1" max="1" width="10.28515625" bestFit="1" customWidth="1"/>
    <col min="2" max="2" width="53" customWidth="1"/>
    <col min="3" max="3" width="18.140625" customWidth="1"/>
    <col min="4" max="4" width="13.42578125" customWidth="1"/>
    <col min="7" max="7" width="23" customWidth="1"/>
    <col min="8" max="8" width="21" style="7" customWidth="1"/>
    <col min="9" max="9" width="21" customWidth="1"/>
    <col min="11" max="11" width="24.140625" customWidth="1"/>
    <col min="12" max="12" width="25.28515625" style="4" customWidth="1"/>
    <col min="13" max="13" width="15.42578125" customWidth="1"/>
    <col min="14" max="14" width="26.140625" customWidth="1"/>
    <col min="15" max="15" width="21.5703125" customWidth="1"/>
    <col min="16" max="16" width="24.7109375" style="7" customWidth="1"/>
  </cols>
  <sheetData>
    <row r="1" spans="1:16" s="1" customFormat="1" ht="33" thickTop="1" thickBot="1" x14ac:dyDescent="0.3">
      <c r="A1" s="3" t="s">
        <v>0</v>
      </c>
      <c r="B1" s="2" t="s">
        <v>21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6" t="s">
        <v>19</v>
      </c>
      <c r="I1" s="2" t="s">
        <v>6</v>
      </c>
      <c r="J1" s="2" t="s">
        <v>7</v>
      </c>
      <c r="K1" s="2" t="s">
        <v>20</v>
      </c>
      <c r="L1" s="2" t="s">
        <v>8</v>
      </c>
      <c r="M1" s="2" t="s">
        <v>22</v>
      </c>
      <c r="N1" s="17" t="s">
        <v>24</v>
      </c>
      <c r="P1" s="8"/>
    </row>
    <row r="2" spans="1:16" ht="15.75" thickTop="1" x14ac:dyDescent="0.25">
      <c r="M2" s="5"/>
    </row>
    <row r="4" spans="1:16" x14ac:dyDescent="0.25">
      <c r="L4" s="18"/>
    </row>
    <row r="5" spans="1:16" x14ac:dyDescent="0.25">
      <c r="I5" s="10"/>
      <c r="O5" s="15" t="s">
        <v>9</v>
      </c>
      <c r="P5" s="15"/>
    </row>
    <row r="6" spans="1:16" ht="15.75" thickBot="1" x14ac:dyDescent="0.3">
      <c r="O6" s="16"/>
      <c r="P6" s="16"/>
    </row>
    <row r="7" spans="1:16" ht="15.75" thickBot="1" x14ac:dyDescent="0.3">
      <c r="O7" s="11" t="s">
        <v>11</v>
      </c>
      <c r="P7" s="14">
        <v>0</v>
      </c>
    </row>
    <row r="8" spans="1:16" ht="15.75" thickBot="1" x14ac:dyDescent="0.3">
      <c r="O8" s="12" t="s">
        <v>12</v>
      </c>
      <c r="P8" s="14">
        <v>0</v>
      </c>
    </row>
    <row r="10" spans="1:16" x14ac:dyDescent="0.25">
      <c r="O10" s="15" t="s">
        <v>10</v>
      </c>
      <c r="P10" s="15"/>
    </row>
    <row r="11" spans="1:16" ht="15.75" thickBot="1" x14ac:dyDescent="0.3">
      <c r="O11" s="16"/>
      <c r="P11" s="16"/>
    </row>
    <row r="12" spans="1:16" ht="15.75" thickBot="1" x14ac:dyDescent="0.3">
      <c r="O12" s="11" t="s">
        <v>13</v>
      </c>
      <c r="P12" s="14">
        <v>0</v>
      </c>
    </row>
    <row r="13" spans="1:16" ht="15.75" thickBot="1" x14ac:dyDescent="0.3">
      <c r="O13" s="12" t="s">
        <v>14</v>
      </c>
      <c r="P13" s="14">
        <v>0</v>
      </c>
    </row>
    <row r="16" spans="1:16" x14ac:dyDescent="0.25">
      <c r="O16" s="15" t="s">
        <v>15</v>
      </c>
      <c r="P16" s="15"/>
    </row>
    <row r="17" spans="15:16" ht="15.75" thickBot="1" x14ac:dyDescent="0.3">
      <c r="O17" s="16"/>
      <c r="P17" s="16"/>
    </row>
    <row r="18" spans="15:16" ht="15.75" thickBot="1" x14ac:dyDescent="0.3">
      <c r="O18" s="11" t="s">
        <v>16</v>
      </c>
      <c r="P18" s="9">
        <f>TOTALCONFIRMADOCARLOSOVL+TOTALCONFIRMADOELVIRAOVL</f>
        <v>0</v>
      </c>
    </row>
    <row r="19" spans="15:16" ht="15.75" thickBot="1" x14ac:dyDescent="0.3">
      <c r="O19" s="12" t="s">
        <v>17</v>
      </c>
      <c r="P19" s="9">
        <f>TOTALPORCONFIRMARCARLOSOVL+TOTALPORCONFIRMARELVIRAOVL</f>
        <v>0</v>
      </c>
    </row>
    <row r="20" spans="15:16" ht="15.75" thickBot="1" x14ac:dyDescent="0.3">
      <c r="O20" s="13" t="s">
        <v>18</v>
      </c>
      <c r="P20" s="9">
        <f>TOTALCONFIRMADOOVL+TOTALPORCONFIRMAROVL</f>
        <v>0</v>
      </c>
    </row>
  </sheetData>
  <autoFilter ref="A1:M1" xr:uid="{70D40E79-6848-4BC7-939A-D5A9D4C9B58D}"/>
  <mergeCells count="3">
    <mergeCell ref="O5:P6"/>
    <mergeCell ref="O10:P11"/>
    <mergeCell ref="O16:P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plicarBordesOVL">
                <anchor moveWithCells="1">
                  <from>
                    <xdr:col>14</xdr:col>
                    <xdr:colOff>47625</xdr:colOff>
                    <xdr:row>0</xdr:row>
                    <xdr:rowOff>57150</xdr:rowOff>
                  </from>
                  <to>
                    <xdr:col>14</xdr:col>
                    <xdr:colOff>1371600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alcularSaldoTotalOVL">
                <anchor moveWithCells="1">
                  <from>
                    <xdr:col>15</xdr:col>
                    <xdr:colOff>161925</xdr:colOff>
                    <xdr:row>0</xdr:row>
                    <xdr:rowOff>57150</xdr:rowOff>
                  </from>
                  <to>
                    <xdr:col>15</xdr:col>
                    <xdr:colOff>1485900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1FCA-E54F-479F-BB75-B6E68BD7B435}">
  <sheetPr codeName="Hoja2"/>
  <dimension ref="A1:P19"/>
  <sheetViews>
    <sheetView topLeftCell="C1" workbookViewId="0">
      <pane ySplit="1" topLeftCell="A2" activePane="bottomLeft" state="frozen"/>
      <selection activeCell="B1" sqref="B1"/>
      <selection pane="bottomLeft" activeCell="P17" sqref="P17"/>
    </sheetView>
  </sheetViews>
  <sheetFormatPr baseColWidth="10" defaultRowHeight="15" x14ac:dyDescent="0.25"/>
  <cols>
    <col min="1" max="1" width="10.28515625" bestFit="1" customWidth="1"/>
    <col min="2" max="2" width="53" customWidth="1"/>
    <col min="3" max="3" width="18.140625" customWidth="1"/>
    <col min="4" max="4" width="13.42578125" customWidth="1"/>
    <col min="7" max="7" width="23" customWidth="1"/>
    <col min="8" max="8" width="20" style="7" customWidth="1"/>
    <col min="9" max="9" width="21" customWidth="1"/>
    <col min="11" max="11" width="24.5703125" customWidth="1"/>
    <col min="12" max="12" width="16.42578125" customWidth="1"/>
    <col min="13" max="13" width="18.140625" customWidth="1"/>
    <col min="14" max="14" width="24.5703125" customWidth="1"/>
    <col min="15" max="15" width="20.42578125" customWidth="1"/>
    <col min="16" max="16" width="22.85546875" style="7" customWidth="1"/>
  </cols>
  <sheetData>
    <row r="1" spans="1:16" s="1" customFormat="1" ht="33" thickTop="1" thickBot="1" x14ac:dyDescent="0.3">
      <c r="A1" s="3" t="s">
        <v>0</v>
      </c>
      <c r="B1" s="2" t="s">
        <v>23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6" t="s">
        <v>19</v>
      </c>
      <c r="I1" s="2" t="s">
        <v>6</v>
      </c>
      <c r="J1" s="2" t="s">
        <v>7</v>
      </c>
      <c r="K1" s="2" t="s">
        <v>20</v>
      </c>
      <c r="L1" s="2" t="s">
        <v>8</v>
      </c>
      <c r="M1" s="2" t="s">
        <v>22</v>
      </c>
      <c r="N1" s="17" t="s">
        <v>24</v>
      </c>
      <c r="P1" s="8"/>
    </row>
    <row r="2" spans="1:16" ht="15.75" thickTop="1" x14ac:dyDescent="0.25"/>
    <row r="4" spans="1:16" x14ac:dyDescent="0.25">
      <c r="L4" s="19"/>
    </row>
    <row r="5" spans="1:16" ht="15" customHeight="1" x14ac:dyDescent="0.25">
      <c r="O5" s="15" t="s">
        <v>9</v>
      </c>
      <c r="P5" s="15"/>
    </row>
    <row r="6" spans="1:16" ht="15.75" customHeight="1" thickBot="1" x14ac:dyDescent="0.3">
      <c r="O6" s="16"/>
      <c r="P6" s="16"/>
    </row>
    <row r="7" spans="1:16" ht="15.75" thickBot="1" x14ac:dyDescent="0.3">
      <c r="O7" s="11" t="s">
        <v>11</v>
      </c>
      <c r="P7" s="14">
        <v>0</v>
      </c>
    </row>
    <row r="8" spans="1:16" ht="15.75" thickBot="1" x14ac:dyDescent="0.3">
      <c r="O8" s="12" t="s">
        <v>12</v>
      </c>
      <c r="P8" s="14">
        <v>0</v>
      </c>
    </row>
    <row r="10" spans="1:16" ht="15" customHeight="1" x14ac:dyDescent="0.25">
      <c r="O10" s="15" t="s">
        <v>10</v>
      </c>
      <c r="P10" s="15"/>
    </row>
    <row r="11" spans="1:16" ht="15.75" customHeight="1" thickBot="1" x14ac:dyDescent="0.3">
      <c r="O11" s="16"/>
      <c r="P11" s="16"/>
    </row>
    <row r="12" spans="1:16" ht="15.75" thickBot="1" x14ac:dyDescent="0.3">
      <c r="O12" s="11" t="s">
        <v>13</v>
      </c>
      <c r="P12" s="14">
        <v>0</v>
      </c>
    </row>
    <row r="13" spans="1:16" ht="15.75" thickBot="1" x14ac:dyDescent="0.3">
      <c r="O13" s="12" t="s">
        <v>14</v>
      </c>
      <c r="P13" s="14">
        <v>0</v>
      </c>
    </row>
    <row r="15" spans="1:16" x14ac:dyDescent="0.25">
      <c r="O15" s="15" t="s">
        <v>15</v>
      </c>
      <c r="P15" s="15"/>
    </row>
    <row r="16" spans="1:16" ht="15.75" thickBot="1" x14ac:dyDescent="0.3">
      <c r="O16" s="16"/>
      <c r="P16" s="16"/>
    </row>
    <row r="17" spans="15:16" ht="15.75" thickBot="1" x14ac:dyDescent="0.3">
      <c r="O17" s="11" t="s">
        <v>16</v>
      </c>
      <c r="P17" s="9">
        <f>TOTALCONFIRMADOCARLOSLFOV+TOTALCONFIRMADOELVIRALFOV</f>
        <v>0</v>
      </c>
    </row>
    <row r="18" spans="15:16" ht="15.75" thickBot="1" x14ac:dyDescent="0.3">
      <c r="O18" s="12" t="s">
        <v>17</v>
      </c>
      <c r="P18" s="9">
        <f>TOTALPORCONFIRMARCARLOSLFOV+TOTALPORCONFIRMARELVIRALFOV</f>
        <v>0</v>
      </c>
    </row>
    <row r="19" spans="15:16" ht="15.75" thickBot="1" x14ac:dyDescent="0.3">
      <c r="O19" s="13" t="s">
        <v>18</v>
      </c>
      <c r="P19" s="9">
        <f>TOTALCONFIRMADOLFOV+TOTALPORCONFIRMARLFOV</f>
        <v>0</v>
      </c>
    </row>
  </sheetData>
  <autoFilter ref="A1:M1" xr:uid="{595E1FCA-E54F-479F-BB75-B6E68BD7B435}"/>
  <mergeCells count="3">
    <mergeCell ref="O5:P6"/>
    <mergeCell ref="O10:P11"/>
    <mergeCell ref="O15:P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plicarBordesLFOV">
                <anchor moveWithCells="1" sizeWithCells="1">
                  <from>
                    <xdr:col>14</xdr:col>
                    <xdr:colOff>57150</xdr:colOff>
                    <xdr:row>0</xdr:row>
                    <xdr:rowOff>76200</xdr:rowOff>
                  </from>
                  <to>
                    <xdr:col>14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rSaldoTotalLFOV">
                <anchor moveWithCells="1" sizeWithCells="1">
                  <from>
                    <xdr:col>15</xdr:col>
                    <xdr:colOff>123825</xdr:colOff>
                    <xdr:row>0</xdr:row>
                    <xdr:rowOff>66675</xdr:rowOff>
                  </from>
                  <to>
                    <xdr:col>15</xdr:col>
                    <xdr:colOff>1390650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14</vt:i4>
      </vt:variant>
    </vt:vector>
  </HeadingPairs>
  <TitlesOfParts>
    <vt:vector size="16" baseType="lpstr">
      <vt:lpstr>FACTURACION OVL</vt:lpstr>
      <vt:lpstr>FACTURACION LFOV</vt:lpstr>
      <vt:lpstr>GRANTOTALLFOV</vt:lpstr>
      <vt:lpstr>GRANTOTALOVL</vt:lpstr>
      <vt:lpstr>TOTALCONFIRMADOCARLOSLFOV</vt:lpstr>
      <vt:lpstr>TOTALCONFIRMADOCARLOSOVL</vt:lpstr>
      <vt:lpstr>TOTALCONFIRMADOELVIRALFOV</vt:lpstr>
      <vt:lpstr>TOTALCONFIRMADOELVIRAOVL</vt:lpstr>
      <vt:lpstr>TOTALCONFIRMADOLFOV</vt:lpstr>
      <vt:lpstr>TOTALCONFIRMADOOVL</vt:lpstr>
      <vt:lpstr>TOTALPORCONFIRMARCARLOSLFOV</vt:lpstr>
      <vt:lpstr>TOTALPORCONFIRMARCARLOSOVL</vt:lpstr>
      <vt:lpstr>TOTALPORCONFIRMARELVIRALFOV</vt:lpstr>
      <vt:lpstr>TOTALPORCONFIRMARELVIRAOVL</vt:lpstr>
      <vt:lpstr>TOTALPORCONFIRMARLFOV</vt:lpstr>
      <vt:lpstr>TOTALPORCONFIRMAROVL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 RivMor</dc:creator>
  <cp:lastModifiedBy>D RivMor</cp:lastModifiedBy>
  <dcterms:created xsi:type="dcterms:W3CDTF">2025-06-26T17:50:24Z</dcterms:created>
  <dcterms:modified xsi:type="dcterms:W3CDTF">2025-07-02T17:39:05Z</dcterms:modified>
</cp:coreProperties>
</file>